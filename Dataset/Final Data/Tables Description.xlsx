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DEPI-Final-Project---Gold-and-Oil-Predictions\Dataset\Final Data\"/>
    </mc:Choice>
  </mc:AlternateContent>
  <xr:revisionPtr revIDLastSave="0" documentId="13_ncr:1_{98EDFAB9-91BF-443B-9DB8-3A38BB51D671}" xr6:coauthVersionLast="47" xr6:coauthVersionMax="47" xr10:uidLastSave="{00000000-0000-0000-0000-000000000000}"/>
  <bookViews>
    <workbookView xWindow="-108" yWindow="-108" windowWidth="23256" windowHeight="12456" xr2:uid="{64DC8462-31C8-413C-AE04-A946F8DA8A48}"/>
  </bookViews>
  <sheets>
    <sheet name="Tables Key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3" i="1"/>
  <c r="A2" i="1"/>
</calcChain>
</file>

<file path=xl/sharedStrings.xml><?xml version="1.0" encoding="utf-8"?>
<sst xmlns="http://schemas.openxmlformats.org/spreadsheetml/2006/main" count="256" uniqueCount="121">
  <si>
    <t>No.</t>
  </si>
  <si>
    <t>Folder No.</t>
  </si>
  <si>
    <t>Folder Name</t>
  </si>
  <si>
    <t>Table Name</t>
  </si>
  <si>
    <t>Source</t>
  </si>
  <si>
    <t>Format</t>
  </si>
  <si>
    <t>Description</t>
  </si>
  <si>
    <t>01</t>
  </si>
  <si>
    <t>egypt economy</t>
  </si>
  <si>
    <t>egypt_cpi_imf</t>
  </si>
  <si>
    <t>IMF</t>
  </si>
  <si>
    <t>csv</t>
  </si>
  <si>
    <t>Consumer price index  for Egypt</t>
  </si>
  <si>
    <t>egypt_inflation_rate_cbe</t>
  </si>
  <si>
    <t>CBE</t>
  </si>
  <si>
    <t>xlxs</t>
  </si>
  <si>
    <t>Inflation Rates according to CBE</t>
  </si>
  <si>
    <t>egypt_inflation_rate_imf</t>
  </si>
  <si>
    <t>Inflation Rates according to IMF</t>
  </si>
  <si>
    <t>egypt_inflation_rate_world_bank</t>
  </si>
  <si>
    <t>World Bank</t>
  </si>
  <si>
    <t>Inflation Rates according to World Bank</t>
  </si>
  <si>
    <t>Total Subsidies on petroleum products Expected vs. Actual</t>
  </si>
  <si>
    <t>Egy MOF</t>
  </si>
  <si>
    <t>Total Subsidies on petroleum products Expected vs. Actual since 2006-2025</t>
  </si>
  <si>
    <t>Total Subsidies on electricity products Expected vs. Actual</t>
  </si>
  <si>
    <t>Total Subsidies on electricity products Expected vs. Actual since 2006-2025</t>
  </si>
  <si>
    <t>02</t>
  </si>
  <si>
    <t>egypt gold</t>
  </si>
  <si>
    <t>egypt_gold_egp_daily_goldbroker</t>
  </si>
  <si>
    <t>GoldBroker</t>
  </si>
  <si>
    <t>Gold Prices in Egypt</t>
  </si>
  <si>
    <t>03</t>
  </si>
  <si>
    <t>egypt oil in budget</t>
  </si>
  <si>
    <t>egypt_avg_brent_price_in_budget</t>
  </si>
  <si>
    <t>MOF</t>
  </si>
  <si>
    <t>Egypt average Brent Oil Barrel in Egyptian Budget (Planned vs. Actual)</t>
  </si>
  <si>
    <t>04</t>
  </si>
  <si>
    <t>global oil</t>
  </si>
  <si>
    <t>global_oil_prices</t>
  </si>
  <si>
    <t>Yahoo Finance, NASDAQ API</t>
  </si>
  <si>
    <t>10 years global oil prices (WTI, Brent and Oman)</t>
  </si>
  <si>
    <t>brent_oil_prices_2016_to_today</t>
  </si>
  <si>
    <t>Yahoo Finance</t>
  </si>
  <si>
    <t>Global Brent Barrel Prices</t>
  </si>
  <si>
    <t>oil_opec_basket_price</t>
  </si>
  <si>
    <t>OPEC</t>
  </si>
  <si>
    <t>05</t>
  </si>
  <si>
    <t>global gold</t>
  </si>
  <si>
    <t>gold_historical_daily_prices</t>
  </si>
  <si>
    <t>MacroTrends</t>
  </si>
  <si>
    <t>Global Gold Prices on Daily Basis, Closes only</t>
  </si>
  <si>
    <t>gold_historical_data_monthly</t>
  </si>
  <si>
    <t>Global Gold Prices on Monthly basis</t>
  </si>
  <si>
    <t>gold_historical_data_monthly_adjusted_for_inflation</t>
  </si>
  <si>
    <t>Global Gold Prices on Monthly basis, adjusted for inflation</t>
  </si>
  <si>
    <t>gold_prices_2016_to_today</t>
  </si>
  <si>
    <t>Global Gold Prices on Daily Basis, Complete Data</t>
  </si>
  <si>
    <t>06</t>
  </si>
  <si>
    <t>us economy</t>
  </si>
  <si>
    <t>1Y Treasury Rate Historical Data Monthly</t>
  </si>
  <si>
    <t>2Y Treasury Rate Historical Data Monthly</t>
  </si>
  <si>
    <t>5Y Treasury Rate Historical Data Monthly</t>
  </si>
  <si>
    <t>10Y Treasury Rate Historical Data Monthly</t>
  </si>
  <si>
    <t>30Y Treasury Rate Historical Data Monthly</t>
  </si>
  <si>
    <t>Dollar Index Historical Data</t>
  </si>
  <si>
    <t>DOW Historical Data Daily 10Y</t>
  </si>
  <si>
    <t>DOW Historical Data Monthly Adjusted for Inflation</t>
  </si>
  <si>
    <t>DOW Historical Data Monthly</t>
  </si>
  <si>
    <t>Fed Funds Rate Historical Data Monthly</t>
  </si>
  <si>
    <t>Inflation Rate Historical Data Annual Change</t>
  </si>
  <si>
    <t>Inflation Rate Historical Data Annual</t>
  </si>
  <si>
    <t>NASDAQ Historical Data Monthly Adjusted for Inflation</t>
  </si>
  <si>
    <t>NASDAQ Historical Data Monthly</t>
  </si>
  <si>
    <t>07</t>
  </si>
  <si>
    <t>exchange rates</t>
  </si>
  <si>
    <t>usd_cny_2016_to_today</t>
  </si>
  <si>
    <t>USD vs. CNY Exchange Rate</t>
  </si>
  <si>
    <t>usd_egp_2016_to_today</t>
  </si>
  <si>
    <t>USD vs. EGP Exchange Rate</t>
  </si>
  <si>
    <t>usd_eur_2016_to_today</t>
  </si>
  <si>
    <t>USD vs. EUR Exchange Rate</t>
  </si>
  <si>
    <t>08</t>
  </si>
  <si>
    <t>world economy</t>
  </si>
  <si>
    <t>china_gdp_2016_to_2024</t>
  </si>
  <si>
    <t>FRED</t>
  </si>
  <si>
    <t>data_gpr_daily_recent</t>
  </si>
  <si>
    <t>Matteo Iacoviello</t>
  </si>
  <si>
    <t>Geo Political Risk</t>
  </si>
  <si>
    <t>data_gpr_export</t>
  </si>
  <si>
    <t>gold_oil_usd_fred_master</t>
  </si>
  <si>
    <t>us_gdp_2016_to_today</t>
  </si>
  <si>
    <t>us_oil_inventories_2016_to_today</t>
  </si>
  <si>
    <t>EIA</t>
  </si>
  <si>
    <t>vix_2016_to_today</t>
  </si>
  <si>
    <t>Volatility Index</t>
  </si>
  <si>
    <t>09</t>
  </si>
  <si>
    <t>commodities</t>
  </si>
  <si>
    <t>copper_prices_2016_to_today</t>
  </si>
  <si>
    <t>silver_prices_2016_to_today</t>
  </si>
  <si>
    <t>stock indicies</t>
  </si>
  <si>
    <t>all_global_indices_close_2015_to_today</t>
  </si>
  <si>
    <t>EGX 30 Historical Data</t>
  </si>
  <si>
    <t>Investing.com</t>
  </si>
  <si>
    <t>japan economy</t>
  </si>
  <si>
    <t>BOJ</t>
  </si>
  <si>
    <t>japan_interest_rates_history</t>
  </si>
  <si>
    <t>gold reserves</t>
  </si>
  <si>
    <t>World Gold Council</t>
  </si>
  <si>
    <t>annual_gold_reserves_by_central_banks</t>
  </si>
  <si>
    <t>quarter_gold_reserves_by_central_banks</t>
  </si>
  <si>
    <t>norway economy</t>
  </si>
  <si>
    <t>norway_inflation_indicators</t>
  </si>
  <si>
    <t>Norges Bank</t>
  </si>
  <si>
    <t>B</t>
  </si>
  <si>
    <t>O</t>
  </si>
  <si>
    <t>G</t>
  </si>
  <si>
    <t>Asset</t>
  </si>
  <si>
    <t>Inflation-data</t>
  </si>
  <si>
    <t>World bank group</t>
  </si>
  <si>
    <t>Inflation-data for all countries from 1979 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</si>
</sst>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BB5BC-4BDE-4834-9BD1-71A74253793C}">
  <dimension ref="A1:H49"/>
  <sheetViews>
    <sheetView tabSelected="1" topLeftCell="A31" zoomScaleNormal="100" workbookViewId="0">
      <selection activeCell="E46" sqref="E46"/>
    </sheetView>
  </sheetViews>
  <sheetFormatPr defaultRowHeight="14.4" x14ac:dyDescent="0.3"/>
  <cols>
    <col min="2" max="2" width="8.88671875" style="1"/>
    <col min="3" max="3" width="17" bestFit="1" customWidth="1"/>
    <col min="4" max="4" width="49.5546875" bestFit="1" customWidth="1"/>
    <col min="5" max="5" width="26.33203125" bestFit="1" customWidth="1"/>
    <col min="6" max="6" width="7.33203125" bestFit="1" customWidth="1"/>
    <col min="7" max="7" width="62.88671875" bestFit="1" customWidth="1"/>
  </cols>
  <sheetData>
    <row r="1" spans="1:8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117</v>
      </c>
    </row>
    <row r="2" spans="1:8" x14ac:dyDescent="0.3">
      <c r="A2">
        <f>SUBTOTAL(3,$D$2:D2)</f>
        <v>1</v>
      </c>
      <c r="B2" s="3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s="1" t="s">
        <v>114</v>
      </c>
    </row>
    <row r="3" spans="1:8" x14ac:dyDescent="0.3">
      <c r="A3">
        <f>SUBTOTAL(3,$D$2:D3)</f>
        <v>2</v>
      </c>
      <c r="D3" t="s">
        <v>13</v>
      </c>
      <c r="E3" t="s">
        <v>14</v>
      </c>
      <c r="F3" t="s">
        <v>15</v>
      </c>
      <c r="G3" t="s">
        <v>16</v>
      </c>
      <c r="H3" s="1" t="s">
        <v>114</v>
      </c>
    </row>
    <row r="4" spans="1:8" ht="20.25" customHeight="1" x14ac:dyDescent="0.3">
      <c r="A4">
        <f>SUBTOTAL(3,$D$2:D4)</f>
        <v>3</v>
      </c>
      <c r="D4" t="s">
        <v>17</v>
      </c>
      <c r="E4" t="s">
        <v>10</v>
      </c>
      <c r="F4" t="s">
        <v>11</v>
      </c>
      <c r="G4" t="s">
        <v>18</v>
      </c>
      <c r="H4" s="1" t="s">
        <v>114</v>
      </c>
    </row>
    <row r="5" spans="1:8" x14ac:dyDescent="0.3">
      <c r="A5">
        <f>SUBTOTAL(3,$D$2:D5)</f>
        <v>4</v>
      </c>
      <c r="D5" t="s">
        <v>19</v>
      </c>
      <c r="E5" t="s">
        <v>20</v>
      </c>
      <c r="F5" t="s">
        <v>11</v>
      </c>
      <c r="G5" t="s">
        <v>21</v>
      </c>
      <c r="H5" s="1" t="s">
        <v>114</v>
      </c>
    </row>
    <row r="6" spans="1:8" x14ac:dyDescent="0.3">
      <c r="A6">
        <f>SUBTOTAL(3,$D$2:D6)</f>
        <v>5</v>
      </c>
      <c r="D6" t="s">
        <v>22</v>
      </c>
      <c r="E6" t="s">
        <v>23</v>
      </c>
      <c r="F6" t="s">
        <v>15</v>
      </c>
      <c r="G6" t="s">
        <v>24</v>
      </c>
      <c r="H6" s="1" t="s">
        <v>115</v>
      </c>
    </row>
    <row r="7" spans="1:8" x14ac:dyDescent="0.3">
      <c r="A7">
        <f>SUBTOTAL(3,$D$2:D7)</f>
        <v>6</v>
      </c>
      <c r="D7" t="s">
        <v>25</v>
      </c>
      <c r="E7" t="s">
        <v>23</v>
      </c>
      <c r="F7" t="s">
        <v>15</v>
      </c>
      <c r="G7" t="s">
        <v>26</v>
      </c>
      <c r="H7" s="1" t="s">
        <v>114</v>
      </c>
    </row>
    <row r="8" spans="1:8" x14ac:dyDescent="0.3">
      <c r="A8">
        <f>SUBTOTAL(3,$D$2:D8)</f>
        <v>7</v>
      </c>
      <c r="B8" s="3" t="s">
        <v>27</v>
      </c>
      <c r="C8" t="s">
        <v>28</v>
      </c>
      <c r="D8" t="s">
        <v>29</v>
      </c>
      <c r="E8" t="s">
        <v>30</v>
      </c>
      <c r="F8" t="s">
        <v>11</v>
      </c>
      <c r="G8" t="s">
        <v>31</v>
      </c>
      <c r="H8" s="1" t="s">
        <v>116</v>
      </c>
    </row>
    <row r="9" spans="1:8" x14ac:dyDescent="0.3">
      <c r="A9">
        <f>SUBTOTAL(3,$D$2:D9)</f>
        <v>8</v>
      </c>
      <c r="B9" s="3" t="s">
        <v>32</v>
      </c>
      <c r="C9" t="s">
        <v>33</v>
      </c>
      <c r="D9" t="s">
        <v>34</v>
      </c>
      <c r="E9" t="s">
        <v>35</v>
      </c>
      <c r="F9" t="s">
        <v>11</v>
      </c>
      <c r="G9" t="s">
        <v>36</v>
      </c>
      <c r="H9" s="1" t="s">
        <v>115</v>
      </c>
    </row>
    <row r="10" spans="1:8" x14ac:dyDescent="0.3">
      <c r="A10">
        <f>SUBTOTAL(3,$D$2:D10)</f>
        <v>9</v>
      </c>
      <c r="B10" s="3" t="s">
        <v>37</v>
      </c>
      <c r="C10" t="s">
        <v>38</v>
      </c>
      <c r="D10" t="s">
        <v>39</v>
      </c>
      <c r="E10" t="s">
        <v>40</v>
      </c>
      <c r="F10" t="s">
        <v>11</v>
      </c>
      <c r="G10" t="s">
        <v>41</v>
      </c>
      <c r="H10" s="1" t="s">
        <v>115</v>
      </c>
    </row>
    <row r="11" spans="1:8" x14ac:dyDescent="0.3">
      <c r="A11">
        <f>SUBTOTAL(3,$D$2:D11)</f>
        <v>10</v>
      </c>
      <c r="B11" s="3"/>
      <c r="D11" t="s">
        <v>42</v>
      </c>
      <c r="E11" t="s">
        <v>43</v>
      </c>
      <c r="F11" t="s">
        <v>11</v>
      </c>
      <c r="G11" t="s">
        <v>44</v>
      </c>
      <c r="H11" s="1" t="s">
        <v>115</v>
      </c>
    </row>
    <row r="12" spans="1:8" x14ac:dyDescent="0.3">
      <c r="A12">
        <f>SUBTOTAL(3,$D$2:D12)</f>
        <v>11</v>
      </c>
      <c r="B12" s="3"/>
      <c r="D12" t="s">
        <v>45</v>
      </c>
      <c r="E12" t="s">
        <v>46</v>
      </c>
      <c r="F12" t="s">
        <v>15</v>
      </c>
      <c r="H12" s="1" t="s">
        <v>115</v>
      </c>
    </row>
    <row r="13" spans="1:8" x14ac:dyDescent="0.3">
      <c r="A13">
        <f>SUBTOTAL(3,$D$2:D13)</f>
        <v>12</v>
      </c>
      <c r="B13" s="3" t="s">
        <v>47</v>
      </c>
      <c r="C13" t="s">
        <v>48</v>
      </c>
      <c r="D13" t="s">
        <v>49</v>
      </c>
      <c r="E13" t="s">
        <v>50</v>
      </c>
      <c r="F13" t="s">
        <v>11</v>
      </c>
      <c r="G13" t="s">
        <v>51</v>
      </c>
      <c r="H13" s="1" t="s">
        <v>116</v>
      </c>
    </row>
    <row r="14" spans="1:8" x14ac:dyDescent="0.3">
      <c r="A14">
        <f>SUBTOTAL(3,$D$2:D14)</f>
        <v>13</v>
      </c>
      <c r="D14" t="s">
        <v>52</v>
      </c>
      <c r="E14" t="s">
        <v>50</v>
      </c>
      <c r="F14" t="s">
        <v>11</v>
      </c>
      <c r="G14" t="s">
        <v>53</v>
      </c>
      <c r="H14" s="1" t="s">
        <v>116</v>
      </c>
    </row>
    <row r="15" spans="1:8" x14ac:dyDescent="0.3">
      <c r="A15">
        <f>SUBTOTAL(3,$D$2:D15)</f>
        <v>14</v>
      </c>
      <c r="D15" t="s">
        <v>54</v>
      </c>
      <c r="E15" t="s">
        <v>50</v>
      </c>
      <c r="F15" t="s">
        <v>11</v>
      </c>
      <c r="G15" t="s">
        <v>55</v>
      </c>
      <c r="H15" s="1" t="s">
        <v>116</v>
      </c>
    </row>
    <row r="16" spans="1:8" x14ac:dyDescent="0.3">
      <c r="A16">
        <f>SUBTOTAL(3,$D$2:D16)</f>
        <v>15</v>
      </c>
      <c r="D16" t="s">
        <v>56</v>
      </c>
      <c r="E16" t="s">
        <v>43</v>
      </c>
      <c r="F16" t="s">
        <v>11</v>
      </c>
      <c r="G16" t="s">
        <v>57</v>
      </c>
      <c r="H16" s="1" t="s">
        <v>116</v>
      </c>
    </row>
    <row r="17" spans="1:8" x14ac:dyDescent="0.3">
      <c r="A17">
        <f>SUBTOTAL(3,$D$2:D17)</f>
        <v>16</v>
      </c>
      <c r="B17" s="3" t="s">
        <v>58</v>
      </c>
      <c r="C17" t="s">
        <v>59</v>
      </c>
      <c r="D17" t="s">
        <v>60</v>
      </c>
      <c r="E17" t="s">
        <v>50</v>
      </c>
      <c r="F17" t="s">
        <v>11</v>
      </c>
      <c r="G17" t="s">
        <v>60</v>
      </c>
      <c r="H17" s="1" t="s">
        <v>114</v>
      </c>
    </row>
    <row r="18" spans="1:8" x14ac:dyDescent="0.3">
      <c r="A18">
        <f>SUBTOTAL(3,$D$2:D18)</f>
        <v>17</v>
      </c>
      <c r="D18" t="s">
        <v>61</v>
      </c>
      <c r="E18" t="s">
        <v>50</v>
      </c>
      <c r="F18" t="s">
        <v>11</v>
      </c>
      <c r="G18" t="s">
        <v>61</v>
      </c>
      <c r="H18" s="1" t="s">
        <v>114</v>
      </c>
    </row>
    <row r="19" spans="1:8" x14ac:dyDescent="0.3">
      <c r="A19">
        <f>SUBTOTAL(3,$D$2:D19)</f>
        <v>18</v>
      </c>
      <c r="D19" t="s">
        <v>62</v>
      </c>
      <c r="E19" t="s">
        <v>50</v>
      </c>
      <c r="F19" t="s">
        <v>11</v>
      </c>
      <c r="G19" t="s">
        <v>62</v>
      </c>
      <c r="H19" s="1" t="s">
        <v>114</v>
      </c>
    </row>
    <row r="20" spans="1:8" x14ac:dyDescent="0.3">
      <c r="A20">
        <f>SUBTOTAL(3,$D$2:D20)</f>
        <v>19</v>
      </c>
      <c r="D20" t="s">
        <v>63</v>
      </c>
      <c r="E20" t="s">
        <v>50</v>
      </c>
      <c r="F20" t="s">
        <v>11</v>
      </c>
      <c r="G20" t="s">
        <v>63</v>
      </c>
      <c r="H20" s="1" t="s">
        <v>114</v>
      </c>
    </row>
    <row r="21" spans="1:8" x14ac:dyDescent="0.3">
      <c r="A21">
        <f>SUBTOTAL(3,$D$2:D21)</f>
        <v>20</v>
      </c>
      <c r="D21" t="s">
        <v>64</v>
      </c>
      <c r="E21" t="s">
        <v>50</v>
      </c>
      <c r="F21" t="s">
        <v>11</v>
      </c>
      <c r="G21" t="s">
        <v>64</v>
      </c>
      <c r="H21" s="1" t="s">
        <v>114</v>
      </c>
    </row>
    <row r="22" spans="1:8" x14ac:dyDescent="0.3">
      <c r="A22">
        <f>SUBTOTAL(3,$D$2:D22)</f>
        <v>21</v>
      </c>
      <c r="D22" t="s">
        <v>65</v>
      </c>
      <c r="E22" t="s">
        <v>50</v>
      </c>
      <c r="F22" t="s">
        <v>11</v>
      </c>
      <c r="G22" t="s">
        <v>65</v>
      </c>
      <c r="H22" s="1" t="s">
        <v>114</v>
      </c>
    </row>
    <row r="23" spans="1:8" x14ac:dyDescent="0.3">
      <c r="A23">
        <f>SUBTOTAL(3,$D$2:D23)</f>
        <v>22</v>
      </c>
      <c r="D23" t="s">
        <v>66</v>
      </c>
      <c r="E23" t="s">
        <v>50</v>
      </c>
      <c r="F23" t="s">
        <v>11</v>
      </c>
      <c r="G23" t="s">
        <v>66</v>
      </c>
      <c r="H23" s="1" t="s">
        <v>114</v>
      </c>
    </row>
    <row r="24" spans="1:8" x14ac:dyDescent="0.3">
      <c r="A24">
        <f>SUBTOTAL(3,$D$2:D24)</f>
        <v>23</v>
      </c>
      <c r="D24" t="s">
        <v>67</v>
      </c>
      <c r="E24" t="s">
        <v>50</v>
      </c>
      <c r="F24" t="s">
        <v>11</v>
      </c>
      <c r="G24" t="s">
        <v>67</v>
      </c>
      <c r="H24" s="1" t="s">
        <v>114</v>
      </c>
    </row>
    <row r="25" spans="1:8" x14ac:dyDescent="0.3">
      <c r="A25">
        <f>SUBTOTAL(3,$D$2:D25)</f>
        <v>24</v>
      </c>
      <c r="D25" t="s">
        <v>68</v>
      </c>
      <c r="E25" t="s">
        <v>50</v>
      </c>
      <c r="F25" t="s">
        <v>11</v>
      </c>
      <c r="G25" t="s">
        <v>68</v>
      </c>
      <c r="H25" s="1" t="s">
        <v>114</v>
      </c>
    </row>
    <row r="26" spans="1:8" x14ac:dyDescent="0.3">
      <c r="A26">
        <f>SUBTOTAL(3,$D$2:D26)</f>
        <v>25</v>
      </c>
      <c r="D26" t="s">
        <v>69</v>
      </c>
      <c r="E26" t="s">
        <v>50</v>
      </c>
      <c r="F26" t="s">
        <v>11</v>
      </c>
      <c r="G26" t="s">
        <v>69</v>
      </c>
      <c r="H26" s="1" t="s">
        <v>114</v>
      </c>
    </row>
    <row r="27" spans="1:8" x14ac:dyDescent="0.3">
      <c r="A27">
        <f>SUBTOTAL(3,$D$2:D27)</f>
        <v>26</v>
      </c>
      <c r="D27" t="s">
        <v>70</v>
      </c>
      <c r="E27" t="s">
        <v>50</v>
      </c>
      <c r="F27" t="s">
        <v>11</v>
      </c>
      <c r="G27" t="s">
        <v>70</v>
      </c>
      <c r="H27" s="1" t="s">
        <v>114</v>
      </c>
    </row>
    <row r="28" spans="1:8" x14ac:dyDescent="0.3">
      <c r="A28">
        <f>SUBTOTAL(3,$D$2:D28)</f>
        <v>27</v>
      </c>
      <c r="D28" t="s">
        <v>71</v>
      </c>
      <c r="E28" t="s">
        <v>50</v>
      </c>
      <c r="F28" t="s">
        <v>11</v>
      </c>
      <c r="G28" t="s">
        <v>71</v>
      </c>
      <c r="H28" s="1" t="s">
        <v>114</v>
      </c>
    </row>
    <row r="29" spans="1:8" x14ac:dyDescent="0.3">
      <c r="A29">
        <f>SUBTOTAL(3,$D$2:D29)</f>
        <v>28</v>
      </c>
      <c r="D29" t="s">
        <v>72</v>
      </c>
      <c r="E29" t="s">
        <v>50</v>
      </c>
      <c r="F29" t="s">
        <v>11</v>
      </c>
      <c r="G29" t="s">
        <v>72</v>
      </c>
      <c r="H29" s="1" t="s">
        <v>114</v>
      </c>
    </row>
    <row r="30" spans="1:8" x14ac:dyDescent="0.3">
      <c r="A30">
        <f>SUBTOTAL(3,$D$2:D30)</f>
        <v>29</v>
      </c>
      <c r="D30" t="s">
        <v>73</v>
      </c>
      <c r="E30" t="s">
        <v>50</v>
      </c>
      <c r="F30" t="s">
        <v>11</v>
      </c>
      <c r="G30" t="s">
        <v>73</v>
      </c>
      <c r="H30" s="1" t="s">
        <v>114</v>
      </c>
    </row>
    <row r="31" spans="1:8" x14ac:dyDescent="0.3">
      <c r="A31">
        <f>SUBTOTAL(3,$D$2:D31)</f>
        <v>30</v>
      </c>
      <c r="B31" s="3" t="s">
        <v>74</v>
      </c>
      <c r="C31" t="s">
        <v>75</v>
      </c>
      <c r="D31" t="s">
        <v>76</v>
      </c>
      <c r="E31" t="s">
        <v>43</v>
      </c>
      <c r="F31" t="s">
        <v>11</v>
      </c>
      <c r="G31" t="s">
        <v>77</v>
      </c>
      <c r="H31" s="1" t="s">
        <v>114</v>
      </c>
    </row>
    <row r="32" spans="1:8" x14ac:dyDescent="0.3">
      <c r="A32">
        <f>SUBTOTAL(3,$D$2:D32)</f>
        <v>31</v>
      </c>
      <c r="D32" t="s">
        <v>78</v>
      </c>
      <c r="E32" t="s">
        <v>43</v>
      </c>
      <c r="F32" t="s">
        <v>11</v>
      </c>
      <c r="G32" t="s">
        <v>79</v>
      </c>
      <c r="H32" s="1" t="s">
        <v>114</v>
      </c>
    </row>
    <row r="33" spans="1:8" x14ac:dyDescent="0.3">
      <c r="A33">
        <f>SUBTOTAL(3,$D$2:D33)</f>
        <v>32</v>
      </c>
      <c r="D33" t="s">
        <v>80</v>
      </c>
      <c r="E33" t="s">
        <v>43</v>
      </c>
      <c r="F33" t="s">
        <v>11</v>
      </c>
      <c r="G33" t="s">
        <v>81</v>
      </c>
      <c r="H33" s="1" t="s">
        <v>114</v>
      </c>
    </row>
    <row r="34" spans="1:8" x14ac:dyDescent="0.3">
      <c r="A34">
        <f>SUBTOTAL(3,$D$2:D34)</f>
        <v>33</v>
      </c>
      <c r="B34" s="3" t="s">
        <v>82</v>
      </c>
      <c r="C34" t="s">
        <v>83</v>
      </c>
      <c r="D34" t="s">
        <v>84</v>
      </c>
      <c r="E34" t="s">
        <v>85</v>
      </c>
      <c r="F34" t="s">
        <v>11</v>
      </c>
      <c r="H34" s="1" t="s">
        <v>114</v>
      </c>
    </row>
    <row r="35" spans="1:8" x14ac:dyDescent="0.3">
      <c r="A35">
        <f>SUBTOTAL(3,$D$2:D35)</f>
        <v>34</v>
      </c>
      <c r="B35" s="3"/>
      <c r="D35" t="s">
        <v>86</v>
      </c>
      <c r="E35" t="s">
        <v>87</v>
      </c>
      <c r="F35" t="s">
        <v>11</v>
      </c>
      <c r="G35" t="s">
        <v>88</v>
      </c>
      <c r="H35" s="1" t="s">
        <v>114</v>
      </c>
    </row>
    <row r="36" spans="1:8" x14ac:dyDescent="0.3">
      <c r="A36">
        <f>SUBTOTAL(3,$D$2:D36)</f>
        <v>35</v>
      </c>
      <c r="B36" s="3"/>
      <c r="D36" t="s">
        <v>89</v>
      </c>
      <c r="E36" t="s">
        <v>87</v>
      </c>
      <c r="F36" t="s">
        <v>11</v>
      </c>
      <c r="G36" t="s">
        <v>88</v>
      </c>
      <c r="H36" s="1" t="s">
        <v>114</v>
      </c>
    </row>
    <row r="37" spans="1:8" x14ac:dyDescent="0.3">
      <c r="A37">
        <f>SUBTOTAL(3,$D$2:D37)</f>
        <v>36</v>
      </c>
      <c r="B37" s="3"/>
      <c r="D37" t="s">
        <v>90</v>
      </c>
      <c r="E37" t="s">
        <v>85</v>
      </c>
      <c r="F37" t="s">
        <v>11</v>
      </c>
      <c r="H37" s="1" t="s">
        <v>116</v>
      </c>
    </row>
    <row r="38" spans="1:8" x14ac:dyDescent="0.3">
      <c r="A38">
        <f>SUBTOTAL(3,$D$2:D38)</f>
        <v>37</v>
      </c>
      <c r="D38" t="s">
        <v>91</v>
      </c>
      <c r="E38" t="s">
        <v>85</v>
      </c>
      <c r="F38" t="s">
        <v>11</v>
      </c>
      <c r="H38" s="1" t="s">
        <v>114</v>
      </c>
    </row>
    <row r="39" spans="1:8" x14ac:dyDescent="0.3">
      <c r="A39">
        <f>SUBTOTAL(3,$D$2:D39)</f>
        <v>38</v>
      </c>
      <c r="D39" t="s">
        <v>92</v>
      </c>
      <c r="E39" t="s">
        <v>93</v>
      </c>
      <c r="F39" t="s">
        <v>11</v>
      </c>
      <c r="H39" s="1" t="s">
        <v>115</v>
      </c>
    </row>
    <row r="40" spans="1:8" x14ac:dyDescent="0.3">
      <c r="A40">
        <f>SUBTOTAL(3,$D$2:D40)</f>
        <v>39</v>
      </c>
      <c r="D40" t="s">
        <v>118</v>
      </c>
      <c r="E40" t="s">
        <v>119</v>
      </c>
      <c r="F40" t="s">
        <v>15</v>
      </c>
      <c r="G40" t="s">
        <v>120</v>
      </c>
      <c r="H40" s="1"/>
    </row>
    <row r="41" spans="1:8" x14ac:dyDescent="0.3">
      <c r="A41">
        <f>SUBTOTAL(3,$D$2:D41)</f>
        <v>40</v>
      </c>
      <c r="D41" t="s">
        <v>94</v>
      </c>
      <c r="E41" t="s">
        <v>43</v>
      </c>
      <c r="F41" t="s">
        <v>11</v>
      </c>
      <c r="G41" t="s">
        <v>95</v>
      </c>
      <c r="H41" s="1" t="s">
        <v>114</v>
      </c>
    </row>
    <row r="42" spans="1:8" x14ac:dyDescent="0.3">
      <c r="A42">
        <f>SUBTOTAL(3,$D$2:D42)</f>
        <v>41</v>
      </c>
      <c r="B42" s="3" t="s">
        <v>96</v>
      </c>
      <c r="C42" t="s">
        <v>97</v>
      </c>
      <c r="D42" t="s">
        <v>98</v>
      </c>
      <c r="E42" t="s">
        <v>43</v>
      </c>
      <c r="F42" t="s">
        <v>11</v>
      </c>
      <c r="H42" s="1" t="s">
        <v>114</v>
      </c>
    </row>
    <row r="43" spans="1:8" x14ac:dyDescent="0.3">
      <c r="A43">
        <f>SUBTOTAL(3,$D$2:D43)</f>
        <v>42</v>
      </c>
      <c r="D43" t="s">
        <v>99</v>
      </c>
      <c r="E43" t="s">
        <v>43</v>
      </c>
      <c r="F43" t="s">
        <v>11</v>
      </c>
      <c r="H43" s="1" t="s">
        <v>114</v>
      </c>
    </row>
    <row r="44" spans="1:8" x14ac:dyDescent="0.3">
      <c r="A44">
        <f>SUBTOTAL(3,$D$2:D44)</f>
        <v>43</v>
      </c>
      <c r="B44" s="1">
        <v>10</v>
      </c>
      <c r="C44" t="s">
        <v>100</v>
      </c>
      <c r="D44" t="s">
        <v>101</v>
      </c>
      <c r="E44" t="s">
        <v>43</v>
      </c>
      <c r="F44" t="s">
        <v>11</v>
      </c>
      <c r="H44" s="1" t="s">
        <v>114</v>
      </c>
    </row>
    <row r="45" spans="1:8" x14ac:dyDescent="0.3">
      <c r="A45">
        <f>SUBTOTAL(3,$D$2:D45)</f>
        <v>44</v>
      </c>
      <c r="D45" t="s">
        <v>102</v>
      </c>
      <c r="E45" t="s">
        <v>103</v>
      </c>
      <c r="F45" t="s">
        <v>11</v>
      </c>
      <c r="H45" s="1" t="s">
        <v>114</v>
      </c>
    </row>
    <row r="46" spans="1:8" x14ac:dyDescent="0.3">
      <c r="A46">
        <f>SUBTOTAL(3,$D$2:D46)</f>
        <v>45</v>
      </c>
      <c r="B46" s="1">
        <v>11</v>
      </c>
      <c r="C46" t="s">
        <v>104</v>
      </c>
      <c r="D46" t="s">
        <v>106</v>
      </c>
      <c r="E46" t="s">
        <v>105</v>
      </c>
      <c r="F46" t="s">
        <v>11</v>
      </c>
      <c r="H46" s="1" t="s">
        <v>114</v>
      </c>
    </row>
    <row r="47" spans="1:8" x14ac:dyDescent="0.3">
      <c r="A47">
        <f>SUBTOTAL(3,$D$2:D47)</f>
        <v>46</v>
      </c>
      <c r="B47" s="1">
        <v>12</v>
      </c>
      <c r="C47" t="s">
        <v>107</v>
      </c>
      <c r="D47" t="s">
        <v>109</v>
      </c>
      <c r="E47" t="s">
        <v>108</v>
      </c>
      <c r="F47" t="s">
        <v>11</v>
      </c>
      <c r="H47" s="1" t="s">
        <v>116</v>
      </c>
    </row>
    <row r="48" spans="1:8" x14ac:dyDescent="0.3">
      <c r="A48">
        <f>SUBTOTAL(3,$D$2:D48)</f>
        <v>47</v>
      </c>
      <c r="D48" t="s">
        <v>110</v>
      </c>
      <c r="E48" t="s">
        <v>108</v>
      </c>
      <c r="F48" t="s">
        <v>11</v>
      </c>
      <c r="H48" s="1" t="s">
        <v>116</v>
      </c>
    </row>
    <row r="49" spans="1:8" x14ac:dyDescent="0.3">
      <c r="A49">
        <f>SUBTOTAL(3,$D$2:D49)</f>
        <v>48</v>
      </c>
      <c r="B49" s="1">
        <v>13</v>
      </c>
      <c r="C49" t="s">
        <v>111</v>
      </c>
      <c r="D49" t="s">
        <v>112</v>
      </c>
      <c r="E49" t="s">
        <v>113</v>
      </c>
      <c r="F49" t="s">
        <v>11</v>
      </c>
      <c r="H49" s="1" t="s">
        <v>114</v>
      </c>
    </row>
  </sheetData>
  <phoneticPr fontId="1" type="noConversion"/>
  <pageMargins left="0.25" right="0.25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 Keys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Gaber Ahmed ElNaggar</dc:creator>
  <cp:keywords/>
  <dc:description/>
  <cp:lastModifiedBy>ahmed basiony</cp:lastModifiedBy>
  <cp:revision/>
  <dcterms:created xsi:type="dcterms:W3CDTF">2026-02-08T02:26:37Z</dcterms:created>
  <dcterms:modified xsi:type="dcterms:W3CDTF">2026-02-14T08:59:34Z</dcterms:modified>
  <cp:category/>
  <cp:contentStatus/>
</cp:coreProperties>
</file>